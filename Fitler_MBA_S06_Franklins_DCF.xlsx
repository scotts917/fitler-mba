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Cash Flow" sheetId="3" state="visible" r:id="rId5"/>
    <sheet name="Valuation" sheetId="4" state="visible" r:id="rId6"/>
    <sheet name="Annot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<sst xmlns="http://schemas.openxmlformats.org/spreadsheetml/2006/main" count="92" uniqueCount="74">
  <si>
    <t xml:space="preserve">Franklin's Bagels — DCF Model · Fitler MBA S06</t>
  </si>
  <si>
    <t xml:space="preserve">All figures $ thousands. These are course projections — assumptions to stress, not facts.</t>
  </si>
  <si>
    <t xml:space="preserve">LEGEND</t>
  </si>
  <si>
    <t xml:space="preserve">Blue text = input you can change</t>
  </si>
  <si>
    <t xml:space="preserve">Black text = formula (leave alone)</t>
  </si>
  <si>
    <t xml:space="preserve">Green text = pulled from another tab</t>
  </si>
  <si>
    <t xml:space="preserve">Yellow fill = the big levers — start your experiments here</t>
  </si>
  <si>
    <t xml:space="preserve">OPERATING ASSUMPTIONS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</si>
  <si>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</si>
  <si>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</si>
  <si>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</si>
  <si>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</si>
  <si>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</si>
  <si>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Revenue ($K)</t>
  </si>
  <si>
    <t xml:space="preserve">EBITDA margin</t>
  </si>
  <si>
    <t xml:space="preserve">Capex ($K)</t>
  </si>
  <si>
    <t xml:space="preserve">Increase in working capital ($K)</t>
  </si>
  <si>
    <t xml:space="preserve">Yr 3 story: second location — buildout capex plus pre-opening staff compress the margin.</t>
  </si>
  <si>
    <t xml:space="preserve">VALUATION LEVERS</t>
  </si>
  <si>
    <t xml:space="preserve">Discount rate (r)</t>
  </si>
  <si>
    <t xml:space="preserve">The room argued to 20% off the Spectrum of Returns.</t>
  </si>
  <si>
    <t xml:space="preserve">Exit multiple (× Yr-5 free cash flow)</t>
  </si>
  <si>
    <t xml:space="preserve">Deliberately round. Attack it.</t>
  </si>
  <si>
    <t xml:space="preserve">Asking price today ($K)</t>
  </si>
  <si>
    <t xml:space="preserve">Franklin's ask — drives the IRR.</t>
  </si>
  <si>
    <t xml:space="preserve">Projected P&amp;L ($K)</t>
  </si>
  <si>
    <t xml:space="preserve">Simplified for teaching: EBITDA is the operating story. Depreciation, interest, and taxes are set aside tonight — see Annotations.</t>
  </si>
  <si>
    <t xml:space="preserve">Revenue</t>
  </si>
  <si>
    <t xml:space="preserve">Operating costs</t>
  </si>
  <si>
    <t xml:space="preserve">EBITDA</t>
  </si>
  <si>
    <t xml:space="preserve">Operating costs are the plug: revenue minus EBITDA. In your own model, build them bottom-up (flour, labor, rent).</t>
  </si>
  <si>
    <t xml:space="preserve">Free Cash Flow ($K)</t>
  </si>
  <si>
    <t xml:space="preserve">What the business actually hands you each year — the raw material of the valuation.</t>
  </si>
  <si>
    <t xml:space="preserve">Less: capex</t>
  </si>
  <si>
    <t xml:space="preserve">Less: increase in working capital</t>
  </si>
  <si>
    <t xml:space="preserve">Free cash flow</t>
  </si>
  <si>
    <t xml:space="preserve">Valuation — the machine, assembled</t>
  </si>
  <si>
    <t xml:space="preserve">Change the yellow levers on Assumptions and watch every number here repaint.</t>
  </si>
  <si>
    <t xml:space="preserve">Composition</t>
  </si>
  <si>
    <t xml:space="preserve">Five years of bagels</t>
  </si>
  <si>
    <t xml:space="preserve">Discount factor  1/(1+r)^n</t>
  </si>
  <si>
    <t xml:space="preserve">The sale (PV of terminal)</t>
  </si>
  <si>
    <t xml:space="preserve">Present value</t>
  </si>
  <si>
    <t xml:space="preserve">Sum of PVs — five years of bagels</t>
  </si>
  <si>
    <t xml:space="preserve">Terminal value at Yr 5 (multiple × Yr-5 FCF)</t>
  </si>
  <si>
    <t xml:space="preserve">PV of terminal value — the sale</t>
  </si>
  <si>
    <t xml:space="preserve">NET PRESENT VALUE</t>
  </si>
  <si>
    <t xml:space="preserve">Terminal value share of NPV — the lab coat</t>
  </si>
  <si>
    <t xml:space="preserve">IRR — the answer's twin</t>
  </si>
  <si>
    <t xml:space="preserve">Cash flows if you buy at the asking price</t>
  </si>
  <si>
    <t xml:space="preserve">IRR — what the stream pays at that price</t>
  </si>
  <si>
    <t xml:space="preserve">Yr-5 entry combines final year's cash and the sale.</t>
  </si>
  <si>
    <t xml:space="preserve">SENSITIVITY — NPV ($K) across the two big assumptions</t>
  </si>
  <si>
    <t xml:space="preserve">Rows: discount rate. Columns: exit multiple. Every cell is a live formula — no lookup tables, no magic.</t>
  </si>
  <si>
    <t xml:space="preserve">r \ multiple</t>
  </si>
  <si>
    <t xml:space="preserve">The shaded cell is tonight's base case. One glance shows what a five-point rate argument or a one-turn multiple argument is worth.</t>
  </si>
  <si>
    <t xml:space="preserve">Annotations — what every formula is doing, in English</t>
  </si>
  <si>
    <t xml:space="preserve">PRESENT &amp; FUTURE VALUE</t>
  </si>
  <si>
    <t xml:space="preserve">One machine, two directions. Forward: FV = PV × (1+r)^n — money grows. Backward: PV = FV ÷ (1+r)^n — a promise shrinks. The Valuation tab's 'discount factor' row is the backward gear: 1/(1+r)^n.</t>
  </si>
  <si>
    <t xml:space="preserve">NPV — net present value</t>
  </si>
  <si>
    <t xml:space="preserve">Every future cash flow pulled back to today and added up, plus the pulled-back sale. It answers: given my rate, what is this stream worth? Cell B12 on Valuation.</t>
  </si>
  <si>
    <t xml:space="preserve">TERMINAL VALUE</t>
  </si>
  <si>
    <t xml:space="preserve">We stop projecting at Yr 5 and pretend to sell: exit multiple × Yr-5 free cash flow. It is the model's biggest single assumption — B13 shows what share of the answer it carries. Expect 60%+. That is normal, and it is why you argue about multiples.</t>
  </si>
  <si>
    <t xml:space="preserve">IRR — internal rate of return</t>
  </si>
  <si>
    <t xml:space="preserve">The question flipped: given the price, what does the stream pay? Formally, the discount rate at which NPV equals zero. Excel's =IRR() solves it by trial and error, exactly like you would.</t>
  </si>
  <si>
    <t xml:space="preserve">Earnings before interest, taxes, depreciation &amp; amortization — tonight's stand-in for operating cash generation. Real diligence walks EBITDA down to true free cash flow; S05's cash-flow statement is the map.</t>
  </si>
  <si>
    <t xml:space="preserve">WHAT WE SIMPLIFIED</t>
  </si>
  <si>
    <t xml:space="preserve">No taxes, no depreciation schedule, no debt inside the business, mid-year timing ignored (all cash assumed to land on Dec 31). Each simplification is fixable — and each fix is a good workbook exercise.</t>
  </si>
  <si>
    <t xml:space="preserve">XNPV / XIRR</t>
  </si>
  <si>
    <t xml:space="preserve">Excel's =NPV() assumes the first cash flow is one full year away, and =IRR() assumes even yearly spacing. Real deals pay on real dates: =XNPV(rate, values, dates) and =XIRR(values, dates) take actual calendars. When money moves mid-year, they are the honest versions.</t>
  </si>
  <si>
    <t xml:space="preserve">COLOR CODE</t>
  </si>
  <si>
    <t xml:space="preserve">Blue = input, change freely. Black = formula, leave alone. Green = pulled from another tab. Yellow fill = the big levers.</t>
  </si>
  <si>
    <t xml:space="preserve">SOURCES</t>
  </si>
  <si>
    <t xml:space="preserve">All operating figures are course projections built for Fitler MBA S06 — assumptions to stress, not facts about any real business. Discount-rate context: the Spectrum of Returns (session deck, Act II), market yields as of early Aug 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</si>
</sst>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\x"/>
    <numFmt numFmtId="168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B2A4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2A41"/>
        <bgColor rgb="FF003366"/>
      </patternFill>
    </fill>
    <fill>
      <patternFill patternType="solid">
        <fgColor rgb="FFF2E7C3"/>
        <bgColor rgb="FFE8E4D8"/>
      </patternFill>
    </fill>
    <fill>
      <patternFill patternType="solid">
        <fgColor rgb="FFE8E4D8"/>
        <bgColor rgb="FFF2E7C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2E7C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4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2E7D5B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NPV lives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"Five years of bagels"</c:f>
              <c:strCache>
                <c:ptCount val="1"/>
                <c:pt idx="0">
                  <c:v>Five years of bagels</c:v>
                </c:pt>
              </c:strCache>
            </c:strRef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Valuation!$J$5</c:f>
              <c:numCache>
                <c:formatCode>\$#,##0;"($"#,##0\);\-</c:formatCode>
                <c:ptCount val="1"/>
                <c:pt idx="0">
                  <c:v>333.924897119342</c:v>
                </c:pt>
              </c:numCache>
            </c:numRef>
          </c:val>
        </c:ser>
        <c:ser>
          <c:idx val="1"/>
          <c:order val="1"/>
          <c:tx>
            <c:strRef>
              <c:f>"The sale (PV of terminal)"</c:f>
              <c:strCache>
                <c:ptCount val="1"/>
                <c:pt idx="0">
                  <c:v>The sale (PV of terminal)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Valuation!$J$6</c:f>
              <c:numCache>
                <c:formatCode>\$#,##0;"($"#,##0\);\-</c:formatCode>
                <c:ptCount val="1"/>
                <c:pt idx="0">
                  <c:v>582.722479423868</c:v>
                </c:pt>
              </c:numCache>
            </c:numRef>
          </c:val>
        </c:ser>
        <c:gapWidth val="150"/>
        <c:overlap val="100"/>
        <c:axId val="59550409"/>
        <c:axId val="96522051"/>
      </c:barChart>
      <c:catAx>
        <c:axId val="59550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22051"/>
        <c:crosses val="autoZero"/>
        <c:auto val="1"/>
        <c:lblAlgn val="ctr"/>
        <c:lblOffset val="100"/>
        <c:noMultiLvlLbl val="0"/>
      </c:catAx>
      <c:valAx>
        <c:axId val="96522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504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160560</xdr:rowOff>
    </xdr:from>
    <xdr:to>
      <xdr:col>14</xdr:col>
      <xdr:colOff>416160</xdr:colOff>
      <xdr:row>17</xdr:row>
      <xdr:rowOff>44640</xdr:rowOff>
    </xdr:to>
    <xdr:graphicFrame>
      <xdr:nvGraphicFramePr>
        <xdr:cNvPr id="0" name="Chart 1"/>
        <xdr:cNvGraphicFramePr/>
      </xdr:nvGraphicFramePr>
      <xdr:xfrm>
        <a:off x="8505720" y="1333440"/>
        <a:ext cx="539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/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</row>
    <row r="12" customFormat="false" ht="15" hidden="false" customHeight="false" outlineLevel="0" collapsed="false">
      <c r="A12" s="9" t="s">
        <v>13</v>
      </c>
      <c r="B12" s="10" t="n">
        <v>780</v>
      </c>
      <c r="C12" s="10" t="n">
        <v>850</v>
      </c>
      <c r="D12" s="10" t="n">
        <v>1150</v>
      </c>
      <c r="E12" s="10" t="n">
        <v>1650</v>
      </c>
      <c r="F12" s="10" t="n">
        <v>1950</v>
      </c>
    </row>
    <row r="13" customFormat="false" ht="15" hidden="false" customHeight="false" outlineLevel="0" collapsed="false">
      <c r="A13" s="11" t="s">
        <v>14</v>
      </c>
      <c r="B13" s="12" t="n">
        <v>0.15</v>
      </c>
      <c r="C13" s="12" t="n">
        <v>0.16</v>
      </c>
      <c r="D13" s="12" t="n">
        <v>0.14</v>
      </c>
      <c r="E13" s="12" t="n">
        <v>0.16</v>
      </c>
      <c r="F13" s="12" t="n">
        <v>0.18</v>
      </c>
    </row>
    <row r="14" customFormat="false" ht="15" hidden="false" customHeight="false" outlineLevel="0" collapsed="false">
      <c r="A14" s="11" t="s">
        <v>15</v>
      </c>
      <c r="B14" s="10" t="n">
        <v>15</v>
      </c>
      <c r="C14" s="10" t="n">
        <v>15</v>
      </c>
      <c r="D14" s="10" t="n">
        <v>210</v>
      </c>
      <c r="E14" s="10" t="n">
        <v>35</v>
      </c>
      <c r="F14" s="10" t="n">
        <v>40</v>
      </c>
    </row>
    <row r="15" customFormat="false" ht="15" hidden="false" customHeight="false" outlineLevel="0" collapsed="false">
      <c r="A15" s="11" t="s">
        <v>16</v>
      </c>
      <c r="B15" s="10" t="n">
        <v>7</v>
      </c>
      <c r="C15" s="10" t="n">
        <v>6</v>
      </c>
      <c r="D15" s="10" t="n">
        <v>21</v>
      </c>
      <c r="E15" s="10" t="n">
        <v>24</v>
      </c>
      <c r="F15" s="10" t="n">
        <v>21</v>
      </c>
    </row>
    <row r="16" customFormat="false" ht="15" hidden="false" customHeight="false" outlineLevel="0" collapsed="false">
      <c r="A16" s="2" t="s">
        <v>17</v>
      </c>
    </row>
    <row r="18" customFormat="false" ht="15" hidden="false" customHeight="false" outlineLevel="0" collapsed="false">
      <c r="A18" s="3" t="s">
        <v>18</v>
      </c>
    </row>
    <row r="19" customFormat="false" ht="15" hidden="false" customHeight="false" outlineLevel="0" collapsed="false">
      <c r="A19" s="9" t="s">
        <v>19</v>
      </c>
      <c r="B19" s="13" t="n">
        <v>0.2</v>
      </c>
      <c r="C19" s="2" t="s">
        <v>20</v>
      </c>
    </row>
    <row r="20" customFormat="false" ht="15" hidden="false" customHeight="false" outlineLevel="0" collapsed="false">
      <c r="A20" s="9" t="s">
        <v>21</v>
      </c>
      <c r="B20" s="14" t="n">
        <v>5</v>
      </c>
      <c r="C20" s="2" t="s">
        <v>22</v>
      </c>
    </row>
    <row r="21" customFormat="false" ht="15" hidden="false" customHeight="false" outlineLevel="0" collapsed="false">
      <c r="A21" s="9" t="s">
        <v>23</v>
      </c>
      <c r="B21" s="15" t="n">
        <v>700</v>
      </c>
      <c r="C2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8"/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</row>
    <row r="5" customFormat="false" ht="15" hidden="false" customHeight="false" outlineLevel="0" collapsed="false">
      <c r="A5" s="9" t="s">
        <v>27</v>
      </c>
      <c r="B5" s="16" t="n">
        <f aca="false">Assumptions!B12</f>
        <v>780</v>
      </c>
      <c r="C5" s="16" t="n">
        <f aca="false">Assumptions!C12</f>
        <v>850</v>
      </c>
      <c r="D5" s="16" t="n">
        <f aca="false">Assumptions!D12</f>
        <v>1150</v>
      </c>
      <c r="E5" s="16" t="n">
        <f aca="false">Assumptions!E12</f>
        <v>1650</v>
      </c>
      <c r="F5" s="16" t="n">
        <f aca="false">Assumptions!F12</f>
        <v>1950</v>
      </c>
    </row>
    <row r="6" customFormat="false" ht="15" hidden="false" customHeight="false" outlineLevel="0" collapsed="false">
      <c r="A6" s="11" t="s">
        <v>28</v>
      </c>
      <c r="B6" s="17" t="n">
        <f aca="false">B5-B7</f>
        <v>663</v>
      </c>
      <c r="C6" s="17" t="n">
        <f aca="false">C5-C7</f>
        <v>714</v>
      </c>
      <c r="D6" s="17" t="n">
        <f aca="false">D5-D7</f>
        <v>989</v>
      </c>
      <c r="E6" s="17" t="n">
        <f aca="false">E5-E7</f>
        <v>1386</v>
      </c>
      <c r="F6" s="17" t="n">
        <f aca="false">F5-F7</f>
        <v>1599</v>
      </c>
    </row>
    <row r="7" customFormat="false" ht="15" hidden="false" customHeight="false" outlineLevel="0" collapsed="false">
      <c r="A7" s="9" t="s">
        <v>29</v>
      </c>
      <c r="B7" s="18" t="n">
        <f aca="false">B5*Assumptions!B13</f>
        <v>117</v>
      </c>
      <c r="C7" s="18" t="n">
        <f aca="false">C5*Assumptions!C13</f>
        <v>136</v>
      </c>
      <c r="D7" s="18" t="n">
        <f aca="false">D5*Assumptions!D13</f>
        <v>161</v>
      </c>
      <c r="E7" s="18" t="n">
        <f aca="false">E5*Assumptions!E13</f>
        <v>264</v>
      </c>
      <c r="F7" s="18" t="n">
        <f aca="false">F5*Assumptions!F13</f>
        <v>351</v>
      </c>
    </row>
    <row r="9" customFormat="false" ht="15" hidden="false" customHeight="false" outlineLevel="0" collapsed="false">
      <c r="A9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8"/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</row>
    <row r="5" customFormat="false" ht="15" hidden="false" customHeight="false" outlineLevel="0" collapsed="false">
      <c r="A5" s="11" t="s">
        <v>29</v>
      </c>
      <c r="B5" s="16" t="n">
        <f aca="false">'P&amp;L'!B7</f>
        <v>117</v>
      </c>
      <c r="C5" s="16" t="n">
        <f aca="false">'P&amp;L'!C7</f>
        <v>136</v>
      </c>
      <c r="D5" s="16" t="n">
        <f aca="false">'P&amp;L'!D7</f>
        <v>161</v>
      </c>
      <c r="E5" s="16" t="n">
        <f aca="false">'P&amp;L'!E7</f>
        <v>264</v>
      </c>
      <c r="F5" s="16" t="n">
        <f aca="false">'P&amp;L'!F7</f>
        <v>351</v>
      </c>
    </row>
    <row r="6" customFormat="false" ht="15" hidden="false" customHeight="false" outlineLevel="0" collapsed="false">
      <c r="A6" s="11" t="s">
        <v>33</v>
      </c>
      <c r="B6" s="16" t="n">
        <f aca="false">-Assumptions!B14</f>
        <v>-15</v>
      </c>
      <c r="C6" s="16" t="n">
        <f aca="false">-Assumptions!C14</f>
        <v>-15</v>
      </c>
      <c r="D6" s="16" t="n">
        <f aca="false">-Assumptions!D14</f>
        <v>-210</v>
      </c>
      <c r="E6" s="16" t="n">
        <f aca="false">-Assumptions!E14</f>
        <v>-35</v>
      </c>
      <c r="F6" s="16" t="n">
        <f aca="false">-Assumptions!F14</f>
        <v>-40</v>
      </c>
    </row>
    <row r="7" customFormat="false" ht="15" hidden="false" customHeight="false" outlineLevel="0" collapsed="false">
      <c r="A7" s="11" t="s">
        <v>34</v>
      </c>
      <c r="B7" s="16" t="n">
        <f aca="false">-Assumptions!B15</f>
        <v>-7</v>
      </c>
      <c r="C7" s="16" t="n">
        <f aca="false">-Assumptions!C15</f>
        <v>-6</v>
      </c>
      <c r="D7" s="16" t="n">
        <f aca="false">-Assumptions!D15</f>
        <v>-21</v>
      </c>
      <c r="E7" s="16" t="n">
        <f aca="false">-Assumptions!E15</f>
        <v>-24</v>
      </c>
      <c r="F7" s="16" t="n">
        <f aca="false">-Assumptions!F15</f>
        <v>-21</v>
      </c>
    </row>
    <row r="8" customFormat="false" ht="15" hidden="false" customHeight="false" outlineLevel="0" collapsed="false">
      <c r="A8" s="9" t="s">
        <v>35</v>
      </c>
      <c r="B8" s="18" t="n">
        <f aca="false">B5+B6+B7</f>
        <v>95</v>
      </c>
      <c r="C8" s="18" t="n">
        <f aca="false">C5+C6+C7</f>
        <v>115</v>
      </c>
      <c r="D8" s="18" t="n">
        <f aca="false">D5+D6+D7</f>
        <v>-70</v>
      </c>
      <c r="E8" s="18" t="n">
        <f aca="false">E5+E6+E7</f>
        <v>205</v>
      </c>
      <c r="F8" s="18" t="n">
        <f aca="false">F5+F6+F7</f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  <col collapsed="false" customWidth="true" hidden="false" outlineLevel="0" max="9" min="9" style="0" width="2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8"/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I4" s="3" t="s">
        <v>38</v>
      </c>
    </row>
    <row r="5" customFormat="false" ht="15" hidden="false" customHeight="false" outlineLevel="0" collapsed="false">
      <c r="A5" s="9" t="s">
        <v>35</v>
      </c>
      <c r="B5" s="16" t="n">
        <f aca="false">'Cash Flow'!B8</f>
        <v>95</v>
      </c>
      <c r="C5" s="16" t="n">
        <f aca="false">'Cash Flow'!C8</f>
        <v>115</v>
      </c>
      <c r="D5" s="16" t="n">
        <f aca="false">'Cash Flow'!D8</f>
        <v>-70</v>
      </c>
      <c r="E5" s="16" t="n">
        <f aca="false">'Cash Flow'!E8</f>
        <v>205</v>
      </c>
      <c r="F5" s="16" t="n">
        <f aca="false">'Cash Flow'!F8</f>
        <v>290</v>
      </c>
      <c r="I5" s="19" t="s">
        <v>39</v>
      </c>
      <c r="J5" s="20" t="n">
        <f aca="false">B9</f>
        <v>333.924897119342</v>
      </c>
    </row>
    <row r="6" customFormat="false" ht="15" hidden="false" customHeight="false" outlineLevel="0" collapsed="false">
      <c r="A6" s="11" t="s">
        <v>40</v>
      </c>
      <c r="B6" s="21" t="n">
        <f aca="false">1/(1+Assumptions!$B$19)^1</f>
        <v>0.833333333333333</v>
      </c>
      <c r="C6" s="21" t="n">
        <f aca="false">1/(1+Assumptions!$B$19)^2</f>
        <v>0.694444444444444</v>
      </c>
      <c r="D6" s="21" t="n">
        <f aca="false">1/(1+Assumptions!$B$19)^3</f>
        <v>0.578703703703704</v>
      </c>
      <c r="E6" s="21" t="n">
        <f aca="false">1/(1+Assumptions!$B$19)^4</f>
        <v>0.482253086419753</v>
      </c>
      <c r="F6" s="21" t="n">
        <f aca="false">1/(1+Assumptions!$B$19)^5</f>
        <v>0.401877572016461</v>
      </c>
      <c r="I6" s="19" t="s">
        <v>41</v>
      </c>
      <c r="J6" s="20" t="n">
        <f aca="false">B11</f>
        <v>582.722479423868</v>
      </c>
    </row>
    <row r="7" customFormat="false" ht="15" hidden="false" customHeight="false" outlineLevel="0" collapsed="false">
      <c r="A7" s="9" t="s">
        <v>42</v>
      </c>
      <c r="B7" s="18" t="n">
        <f aca="false">B5*B6</f>
        <v>79.1666666666667</v>
      </c>
      <c r="C7" s="18" t="n">
        <f aca="false">C5*C6</f>
        <v>79.8611111111111</v>
      </c>
      <c r="D7" s="18" t="n">
        <f aca="false">D5*D6</f>
        <v>-40.5092592592593</v>
      </c>
      <c r="E7" s="18" t="n">
        <f aca="false">E5*E6</f>
        <v>98.8618827160494</v>
      </c>
      <c r="F7" s="18" t="n">
        <f aca="false">F5*F6</f>
        <v>116.544495884774</v>
      </c>
    </row>
    <row r="9" customFormat="false" ht="15" hidden="false" customHeight="false" outlineLevel="0" collapsed="false">
      <c r="A9" s="9" t="s">
        <v>43</v>
      </c>
      <c r="B9" s="17" t="n">
        <f aca="false">SUM(B7:F7)</f>
        <v>333.924897119342</v>
      </c>
    </row>
    <row r="10" customFormat="false" ht="15" hidden="false" customHeight="false" outlineLevel="0" collapsed="false">
      <c r="A10" s="11" t="s">
        <v>44</v>
      </c>
      <c r="B10" s="17" t="n">
        <f aca="false">Assumptions!$B$20*F5</f>
        <v>1450</v>
      </c>
    </row>
    <row r="11" customFormat="false" ht="15" hidden="false" customHeight="false" outlineLevel="0" collapsed="false">
      <c r="A11" s="9" t="s">
        <v>45</v>
      </c>
      <c r="B11" s="17" t="n">
        <f aca="false">B10*F6</f>
        <v>582.722479423868</v>
      </c>
    </row>
    <row r="12" customFormat="false" ht="15" hidden="false" customHeight="false" outlineLevel="0" collapsed="false">
      <c r="A12" s="22" t="s">
        <v>46</v>
      </c>
      <c r="B12" s="23" t="n">
        <f aca="false">B9+B11</f>
        <v>916.64737654321</v>
      </c>
    </row>
    <row r="13" customFormat="false" ht="15" hidden="false" customHeight="false" outlineLevel="0" collapsed="false">
      <c r="A13" s="11" t="s">
        <v>47</v>
      </c>
      <c r="B13" s="24" t="n">
        <f aca="false">B11/B12</f>
        <v>0.63571062802949</v>
      </c>
    </row>
    <row r="15" customFormat="false" ht="15" hidden="false" customHeight="false" outlineLevel="0" collapsed="false">
      <c r="A15" s="3" t="s">
        <v>48</v>
      </c>
    </row>
    <row r="16" customFormat="false" ht="15" hidden="false" customHeight="false" outlineLevel="0" collapsed="false">
      <c r="A16" s="11" t="s">
        <v>49</v>
      </c>
      <c r="B16" s="16" t="n">
        <f aca="false">-Assumptions!$B$21</f>
        <v>-700</v>
      </c>
      <c r="C16" s="17" t="n">
        <f aca="false">B5</f>
        <v>95</v>
      </c>
      <c r="D16" s="17" t="n">
        <f aca="false">C5</f>
        <v>115</v>
      </c>
      <c r="E16" s="17" t="n">
        <f aca="false">D5</f>
        <v>-70</v>
      </c>
      <c r="F16" s="17" t="n">
        <f aca="false">E5</f>
        <v>205</v>
      </c>
      <c r="G16" s="17" t="n">
        <f aca="false">F5+B10</f>
        <v>1740</v>
      </c>
    </row>
    <row r="17" customFormat="false" ht="15" hidden="false" customHeight="false" outlineLevel="0" collapsed="false">
      <c r="A17" s="9" t="s">
        <v>50</v>
      </c>
      <c r="B17" s="25" t="n">
        <f aca="false">IRR(B16:G16)</f>
        <v>0.2773300961227</v>
      </c>
      <c r="C17" s="2" t="s">
        <v>51</v>
      </c>
    </row>
    <row r="20" customFormat="false" ht="15" hidden="false" customHeight="false" outlineLevel="0" collapsed="false">
      <c r="A20" s="3" t="s">
        <v>52</v>
      </c>
    </row>
    <row r="21" customFormat="false" ht="15" hidden="false" customHeight="false" outlineLevel="0" collapsed="false">
      <c r="A21" s="2" t="s">
        <v>53</v>
      </c>
    </row>
    <row r="23" customFormat="false" ht="15" hidden="false" customHeight="false" outlineLevel="0" collapsed="false">
      <c r="A23" s="9" t="s">
        <v>54</v>
      </c>
      <c r="B23" s="26" t="n">
        <v>3</v>
      </c>
      <c r="C23" s="26" t="n">
        <v>4</v>
      </c>
      <c r="D23" s="26" t="n">
        <v>5</v>
      </c>
      <c r="E23" s="26" t="n">
        <v>6</v>
      </c>
      <c r="F23" s="26" t="n">
        <v>7</v>
      </c>
    </row>
    <row r="24" customFormat="false" ht="15" hidden="false" customHeight="false" outlineLevel="0" collapsed="false">
      <c r="A24" s="27" t="n">
        <v>0.1</v>
      </c>
      <c r="B24" s="28" t="n">
        <f aca="false">$B$5/(1+$A24)^1+$C$5/(1+$A24)^2+$D$5/(1+$A24)^3+$E$5/(1+$A24)^4+($F$5+B$23*$F$5)/(1+$A24)^5</f>
        <v>989.099415713035</v>
      </c>
      <c r="C24" s="28" t="n">
        <f aca="false">$B$5/(1+$A24)^1+$C$5/(1+$A24)^2+$D$5/(1+$A24)^3+$E$5/(1+$A24)^4+($F$5+C$23*$F$5)/(1+$A24)^5</f>
        <v>1169.16659940019</v>
      </c>
      <c r="D24" s="28" t="n">
        <f aca="false">$B$5/(1+$A24)^1+$C$5/(1+$A24)^2+$D$5/(1+$A24)^3+$E$5/(1+$A24)^4+($F$5+D$23*$F$5)/(1+$A24)^5</f>
        <v>1349.23378308734</v>
      </c>
      <c r="E24" s="28" t="n">
        <f aca="false">$B$5/(1+$A24)^1+$C$5/(1+$A24)^2+$D$5/(1+$A24)^3+$E$5/(1+$A24)^4+($F$5+E$23*$F$5)/(1+$A24)^5</f>
        <v>1529.3009667745</v>
      </c>
      <c r="F24" s="28" t="n">
        <f aca="false">$B$5/(1+$A24)^1+$C$5/(1+$A24)^2+$D$5/(1+$A24)^3+$E$5/(1+$A24)^4+($F$5+F$23*$F$5)/(1+$A24)^5</f>
        <v>1709.36815046165</v>
      </c>
    </row>
    <row r="25" customFormat="false" ht="15" hidden="false" customHeight="false" outlineLevel="0" collapsed="false">
      <c r="A25" s="27" t="n">
        <v>0.15</v>
      </c>
      <c r="B25" s="28" t="n">
        <f aca="false">$B$5/(1+$A25)^1+$C$5/(1+$A25)^2+$D$5/(1+$A25)^3+$E$5/(1+$A25)^4+($F$5+B$23*$F$5)/(1+$A25)^5</f>
        <v>817.473509413653</v>
      </c>
      <c r="C25" s="28" t="n">
        <f aca="false">$B$5/(1+$A25)^1+$C$5/(1+$A25)^2+$D$5/(1+$A25)^3+$E$5/(1+$A25)^4+($F$5+C$23*$F$5)/(1+$A25)^5</f>
        <v>961.654762650157</v>
      </c>
      <c r="D25" s="28" t="n">
        <f aca="false">$B$5/(1+$A25)^1+$C$5/(1+$A25)^2+$D$5/(1+$A25)^3+$E$5/(1+$A25)^4+($F$5+D$23*$F$5)/(1+$A25)^5</f>
        <v>1105.83601588666</v>
      </c>
      <c r="E25" s="28" t="n">
        <f aca="false">$B$5/(1+$A25)^1+$C$5/(1+$A25)^2+$D$5/(1+$A25)^3+$E$5/(1+$A25)^4+($F$5+E$23*$F$5)/(1+$A25)^5</f>
        <v>1250.01726912317</v>
      </c>
      <c r="F25" s="28" t="n">
        <f aca="false">$B$5/(1+$A25)^1+$C$5/(1+$A25)^2+$D$5/(1+$A25)^3+$E$5/(1+$A25)^4+($F$5+F$23*$F$5)/(1+$A25)^5</f>
        <v>1394.19852235967</v>
      </c>
    </row>
    <row r="26" customFormat="false" ht="15" hidden="false" customHeight="false" outlineLevel="0" collapsed="false">
      <c r="A26" s="27" t="n">
        <v>0.2</v>
      </c>
      <c r="B26" s="28" t="n">
        <f aca="false">$B$5/(1+$A26)^1+$C$5/(1+$A26)^2+$D$5/(1+$A26)^3+$E$5/(1+$A26)^4+($F$5+B$23*$F$5)/(1+$A26)^5</f>
        <v>683.558384773663</v>
      </c>
      <c r="C26" s="28" t="n">
        <f aca="false">$B$5/(1+$A26)^1+$C$5/(1+$A26)^2+$D$5/(1+$A26)^3+$E$5/(1+$A26)^4+($F$5+C$23*$F$5)/(1+$A26)^5</f>
        <v>800.102880658436</v>
      </c>
      <c r="D26" s="29" t="n">
        <f aca="false">$B$5/(1+$A26)^1+$C$5/(1+$A26)^2+$D$5/(1+$A26)^3+$E$5/(1+$A26)^4+($F$5+D$23*$F$5)/(1+$A26)^5</f>
        <v>916.64737654321</v>
      </c>
      <c r="E26" s="28" t="n">
        <f aca="false">$B$5/(1+$A26)^1+$C$5/(1+$A26)^2+$D$5/(1+$A26)^3+$E$5/(1+$A26)^4+($F$5+E$23*$F$5)/(1+$A26)^5</f>
        <v>1033.19187242798</v>
      </c>
      <c r="F26" s="28" t="n">
        <f aca="false">$B$5/(1+$A26)^1+$C$5/(1+$A26)^2+$D$5/(1+$A26)^3+$E$5/(1+$A26)^4+($F$5+F$23*$F$5)/(1+$A26)^5</f>
        <v>1149.73636831276</v>
      </c>
    </row>
    <row r="27" customFormat="false" ht="15" hidden="false" customHeight="false" outlineLevel="0" collapsed="false">
      <c r="A27" s="27" t="n">
        <v>0.25</v>
      </c>
      <c r="B27" s="28" t="n">
        <f aca="false">$B$5/(1+$A27)^1+$C$5/(1+$A27)^2+$D$5/(1+$A27)^3+$E$5/(1+$A27)^4+($F$5+B$23*$F$5)/(1+$A27)^5</f>
        <v>577.8368</v>
      </c>
      <c r="C27" s="28" t="n">
        <f aca="false">$B$5/(1+$A27)^1+$C$5/(1+$A27)^2+$D$5/(1+$A27)^3+$E$5/(1+$A27)^4+($F$5+C$23*$F$5)/(1+$A27)^5</f>
        <v>672.864</v>
      </c>
      <c r="D27" s="28" t="n">
        <f aca="false">$B$5/(1+$A27)^1+$C$5/(1+$A27)^2+$D$5/(1+$A27)^3+$E$5/(1+$A27)^4+($F$5+D$23*$F$5)/(1+$A27)^5</f>
        <v>767.8912</v>
      </c>
      <c r="E27" s="28" t="n">
        <f aca="false">$B$5/(1+$A27)^1+$C$5/(1+$A27)^2+$D$5/(1+$A27)^3+$E$5/(1+$A27)^4+($F$5+E$23*$F$5)/(1+$A27)^5</f>
        <v>862.9184</v>
      </c>
      <c r="F27" s="28" t="n">
        <f aca="false">$B$5/(1+$A27)^1+$C$5/(1+$A27)^2+$D$5/(1+$A27)^3+$E$5/(1+$A27)^4+($F$5+F$23*$F$5)/(1+$A27)^5</f>
        <v>957.9456</v>
      </c>
    </row>
    <row r="28" customFormat="false" ht="15" hidden="false" customHeight="false" outlineLevel="0" collapsed="false">
      <c r="A28" s="27" t="n">
        <v>0.3</v>
      </c>
      <c r="B28" s="28" t="n">
        <f aca="false">$B$5/(1+$A28)^1+$C$5/(1+$A28)^2+$D$5/(1+$A28)^3+$E$5/(1+$A28)^4+($F$5+B$23*$F$5)/(1+$A28)^5</f>
        <v>493.460555410417</v>
      </c>
      <c r="C28" s="28" t="n">
        <f aca="false">$B$5/(1+$A28)^1+$C$5/(1+$A28)^2+$D$5/(1+$A28)^3+$E$5/(1+$A28)^4+($F$5+C$23*$F$5)/(1+$A28)^5</f>
        <v>571.565986969859</v>
      </c>
      <c r="D28" s="28" t="n">
        <f aca="false">$B$5/(1+$A28)^1+$C$5/(1+$A28)^2+$D$5/(1+$A28)^3+$E$5/(1+$A28)^4+($F$5+D$23*$F$5)/(1+$A28)^5</f>
        <v>649.671418529302</v>
      </c>
      <c r="E28" s="28" t="n">
        <f aca="false">$B$5/(1+$A28)^1+$C$5/(1+$A28)^2+$D$5/(1+$A28)^3+$E$5/(1+$A28)^4+($F$5+E$23*$F$5)/(1+$A28)^5</f>
        <v>727.776850088744</v>
      </c>
      <c r="F28" s="28" t="n">
        <f aca="false">$B$5/(1+$A28)^1+$C$5/(1+$A28)^2+$D$5/(1+$A28)^3+$E$5/(1+$A28)^4+($F$5+F$23*$F$5)/(1+$A28)^5</f>
        <v>805.882281648186</v>
      </c>
    </row>
    <row r="30" customFormat="false" ht="15" hidden="false" customHeight="false" outlineLevel="0" collapsed="false">
      <c r="A30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56</v>
      </c>
    </row>
    <row r="3" customFormat="false" ht="45" hidden="false" customHeight="true" outlineLevel="0" collapsed="false">
      <c r="A3" s="3" t="s">
        <v>57</v>
      </c>
      <c r="B3" s="30" t="s">
        <v>58</v>
      </c>
    </row>
    <row r="4" customFormat="false" ht="45" hidden="false" customHeight="true" outlineLevel="0" collapsed="false">
      <c r="A4" s="3" t="s">
        <v>59</v>
      </c>
      <c r="B4" s="30" t="s">
        <v>60</v>
      </c>
    </row>
    <row r="5" customFormat="false" ht="45" hidden="false" customHeight="true" outlineLevel="0" collapsed="false">
      <c r="A5" s="3" t="s">
        <v>61</v>
      </c>
      <c r="B5" s="30" t="s">
        <v>62</v>
      </c>
    </row>
    <row r="6" customFormat="false" ht="45" hidden="false" customHeight="true" outlineLevel="0" collapsed="false">
      <c r="A6" s="3" t="s">
        <v>63</v>
      </c>
      <c r="B6" s="30" t="s">
        <v>64</v>
      </c>
    </row>
    <row r="7" customFormat="false" ht="45" hidden="false" customHeight="true" outlineLevel="0" collapsed="false">
      <c r="A7" s="3" t="s">
        <v>29</v>
      </c>
      <c r="B7" s="30" t="s">
        <v>65</v>
      </c>
    </row>
    <row r="8" customFormat="false" ht="45" hidden="false" customHeight="true" outlineLevel="0" collapsed="false">
      <c r="A8" s="3" t="s">
        <v>66</v>
      </c>
      <c r="B8" s="30" t="s">
        <v>67</v>
      </c>
    </row>
    <row r="9" customFormat="false" ht="45" hidden="false" customHeight="true" outlineLevel="0" collapsed="false">
      <c r="A9" s="3" t="s">
        <v>68</v>
      </c>
      <c r="B9" s="30" t="s">
        <v>69</v>
      </c>
    </row>
    <row r="10" customFormat="false" ht="45" hidden="false" customHeight="true" outlineLevel="0" collapsed="false">
      <c r="A10" s="3" t="s">
        <v>70</v>
      </c>
      <c r="B10" s="30" t="s">
        <v>71</v>
      </c>
    </row>
    <row r="11" customFormat="false" ht="45" hidden="false" customHeight="true" outlineLevel="0" collapsed="false">
      <c r="A11" s="3" t="s">
        <v>72</v>
      </c>
      <c r="B11" s="3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2026-08-04T07:43:22Z</dcterms:created>
  <dc:creator>openpyxl</dc:creator>
  <dc:description/>
  <dc:language>en-US</dc:language>
  <cp:lastModifiedBy/>
  <dcterms:modified xsi:type="dcterms:W3CDTF">2026-08-04T07:43:24Z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